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8E3C3DAA516B482F91FC37E1C56D9C9B" descr="001"/>
        <xdr:cNvPicPr/>
      </xdr:nvPicPr>
      <xdr:blipFill>
        <a:blip r:embed="rId1"/>
        <a:stretch>
          <a:fillRect/>
        </a:stretch>
      </xdr:blipFill>
      <xdr:spPr>
        <a:xfrm>
          <a:off x="0" y="0"/>
          <a:ext cx="4848225" cy="7200900"/>
        </a:xfrm>
        <a:prstGeom prst="rect">
          <a:avLst/>
        </a:prstGeom>
      </xdr:spPr>
    </xdr:pic>
  </etc:cellImage>
  <etc:cellImage>
    <xdr:pic>
      <xdr:nvPicPr>
        <xdr:cNvPr id="7" name="ID_5F383231F134484DBF500EE09062F477" descr="001"/>
        <xdr:cNvPicPr/>
      </xdr:nvPicPr>
      <xdr:blipFill>
        <a:blip r:embed="rId2"/>
        <a:stretch>
          <a:fillRect/>
        </a:stretch>
      </xdr:blipFill>
      <xdr:spPr>
        <a:xfrm>
          <a:off x="0" y="0"/>
          <a:ext cx="4848225" cy="7200900"/>
        </a:xfrm>
        <a:prstGeom prst="rect">
          <a:avLst/>
        </a:prstGeom>
      </xdr:spPr>
    </xdr:pic>
  </etc:cellImage>
  <etc:cellImage>
    <xdr:pic>
      <xdr:nvPicPr>
        <xdr:cNvPr id="9" name="ID_2AD7661407C74EF688435F5AC8652145" descr="001"/>
        <xdr:cNvPicPr/>
      </xdr:nvPicPr>
      <xdr:blipFill>
        <a:blip r:embed="rId3"/>
        <a:stretch>
          <a:fillRect/>
        </a:stretch>
      </xdr:blipFill>
      <xdr:spPr>
        <a:xfrm>
          <a:off x="0" y="0"/>
          <a:ext cx="4848225" cy="72009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<sst xmlns="http://schemas.openxmlformats.org/spreadsheetml/2006/main" count="29" uniqueCount="21">
  <si>
    <t>交易单号</t>
  </si>
  <si>
    <t>商户单号</t>
  </si>
  <si>
    <t>交易金额</t>
  </si>
  <si>
    <t>交易时间</t>
  </si>
  <si>
    <t>咨询时间</t>
  </si>
  <si>
    <t>问题描述</t>
  </si>
  <si>
    <t>退款情况</t>
  </si>
  <si>
    <t>投诉时间</t>
  </si>
  <si>
    <t>处理时间</t>
  </si>
  <si>
    <t>处理结果</t>
  </si>
  <si>
    <t>订单商品说明</t>
  </si>
  <si>
    <t>未退款情况说明</t>
  </si>
  <si>
    <t>沟通记录</t>
  </si>
  <si>
    <t>4200003029202604283723348782</t>
  </si>
  <si>
    <t>5921703241260428</t>
  </si>
  <si>
    <t>全额退款</t>
  </si>
  <si>
    <t>全额退款（原路返回）</t>
  </si>
  <si>
    <t>4200003105202605212997778600</t>
  </si>
  <si>
    <t>5555275103260521</t>
  </si>
  <si>
    <t>4200003035202605203044603526</t>
  </si>
  <si>
    <t>5522324447260520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</si>
</sst>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;@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C2" sqref="C2"/>
    </sheetView>
  </sheetViews>
  <sheetFormatPr defaultColWidth="8.88888888888889" defaultRowHeight="14.4" outlineLevelRow="3"/>
  <cols>
    <col min="1" max="1" width="32.1111111111111" customWidth="1"/>
    <col min="2" max="2" width="18.6666666666667" customWidth="1"/>
    <col min="3" max="7" width="8.33333333333333" customWidth="1"/>
    <col min="8" max="8" width="20.8888888888889" customWidth="1"/>
    <col min="9" max="9" width="19.7777777777778" customWidth="1"/>
    <col min="10" max="10" width="20.3333333333333" customWidth="1"/>
    <col min="11" max="11" width="24.1111111111111" customWidth="1"/>
    <col min="12" max="12" width="18.3333333333333" customWidth="1"/>
    <col min="13" max="14" width="9.22222222222222" customWidth="1"/>
    <col min="15" max="15" width="8.3333333333333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12</v>
      </c>
      <c r="O1" s="1" t="s">
        <v>12</v>
      </c>
      <c r="P1" s="1" t="s">
        <v>12</v>
      </c>
      <c r="Q1" s="1" t="s">
        <v>12</v>
      </c>
    </row>
    <row r="2" ht="73.05" spans="1:17">
      <c r="A2" s="3" t="s">
        <v>13</v>
      </c>
      <c r="B2" s="3" t="s">
        <v>14</v>
      </c>
      <c r="C2" s="1"/>
      <c r="D2" s="1"/>
      <c r="E2" s="1"/>
      <c r="F2" s="1"/>
      <c r="G2" s="1" t="s">
        <v>15</v>
      </c>
      <c r="H2" s="4">
        <v>46165.8291666667</v>
      </c>
      <c r="I2" s="4">
        <v>46165.8388888889</v>
      </c>
      <c r="J2" s="1" t="s">
        <v>16</v>
      </c>
      <c r="K2" s="1"/>
      <c r="L2" s="1"/>
      <c r="M2" t="str">
        <f>_xlfn.DISPIMG("ID_8E3C3DAA516B482F91FC37E1C56D9C9B",1)</f>
        <v>=DISPIMG("ID_8E3C3DAA516B482F91FC37E1C56D9C9B",1)</v>
      </c>
    </row>
    <row r="3" ht="73.05" spans="1:17">
      <c r="A3" s="5" t="s">
        <v>17</v>
      </c>
      <c r="B3" s="5" t="s">
        <v>18</v>
      </c>
      <c r="C3" s="1"/>
      <c r="D3" s="1"/>
      <c r="E3" s="1"/>
      <c r="F3" s="1"/>
      <c r="G3" s="1" t="s">
        <v>15</v>
      </c>
      <c r="H3" s="4">
        <v>46163.5125</v>
      </c>
      <c r="I3" s="4">
        <v>46163.5215277778</v>
      </c>
      <c r="J3" s="1" t="s">
        <v>16</v>
      </c>
      <c r="M3" t="str">
        <f>_xlfn.DISPIMG("ID_5F383231F134484DBF500EE09062F477",1)</f>
        <v>=DISPIMG("ID_5F383231F134484DBF500EE09062F477",1)</v>
      </c>
    </row>
    <row r="4" ht="73.05" spans="1:17">
      <c r="A4" s="5" t="s">
        <v>19</v>
      </c>
      <c r="B4" s="5" t="s">
        <v>20</v>
      </c>
      <c r="C4" s="1"/>
      <c r="D4" s="1"/>
      <c r="E4" s="1"/>
      <c r="F4" s="1"/>
      <c r="G4" s="1" t="s">
        <v>15</v>
      </c>
      <c r="H4" s="4">
        <v>46162.7680555556</v>
      </c>
      <c r="I4" s="4">
        <v>46162.84375</v>
      </c>
      <c r="J4" s="1" t="s">
        <v>16</v>
      </c>
      <c r="M4" t="str">
        <f>_xlfn.DISPIMG("ID_2AD7661407C74EF688435F5AC8652145",1)</f>
        <v>=DISPIMG("ID_2AD7661407C74EF688435F5AC8652145",1)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微信用户</cp:lastModifiedBy>
  <dcterms:created xsi:type="dcterms:W3CDTF">2026-05-24T07:46:00Z</dcterms:created>
  <dcterms:modified xsi:type="dcterms:W3CDTF">2026-05-25T16:38:19Z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F92CABD4D40C4525B2926F7475C07A04_11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